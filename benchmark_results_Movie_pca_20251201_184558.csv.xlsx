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r\Downloads\"/>
    </mc:Choice>
  </mc:AlternateContent>
  <xr:revisionPtr revIDLastSave="0" documentId="13_ncr:1_{7B3723BA-36C1-41E1-85C5-9A71B1A3E4F5}" xr6:coauthVersionLast="47" xr6:coauthVersionMax="47" xr10:uidLastSave="{00000000-0000-0000-0000-000000000000}"/>
  <bookViews>
    <workbookView xWindow="-108" yWindow="-108" windowWidth="23256" windowHeight="12456" activeTab="1" xr2:uid="{06224536-A2F5-4516-94F7-0E40855D33E2}"/>
  </bookViews>
  <sheets>
    <sheet name="benchmark_results_Movie_pca_202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M9" i="3"/>
  <c r="K9" i="3"/>
  <c r="L6" i="3"/>
  <c r="M6" i="3"/>
  <c r="K6" i="3"/>
  <c r="L5" i="3"/>
  <c r="M5" i="3"/>
  <c r="K5" i="3"/>
  <c r="L4" i="3"/>
  <c r="M4" i="3"/>
  <c r="K4" i="3"/>
  <c r="L3" i="3"/>
  <c r="M3" i="3"/>
  <c r="K3" i="3"/>
  <c r="L2" i="3"/>
  <c r="M2" i="3"/>
  <c r="K2" i="3"/>
  <c r="L1" i="3"/>
  <c r="M1" i="3"/>
  <c r="K1" i="3"/>
  <c r="H11" i="1"/>
  <c r="H27" i="1"/>
  <c r="H31" i="1"/>
  <c r="H8" i="1"/>
  <c r="H4" i="1"/>
  <c r="H26" i="1"/>
  <c r="H29" i="1"/>
  <c r="H3" i="1"/>
  <c r="H2" i="1"/>
  <c r="H24" i="1"/>
  <c r="H30" i="1"/>
  <c r="H9" i="1"/>
  <c r="H10" i="1"/>
  <c r="H39" i="1"/>
  <c r="H41" i="1"/>
  <c r="H6" i="1"/>
  <c r="H15" i="1"/>
  <c r="H42" i="1"/>
  <c r="H40" i="1"/>
  <c r="H13" i="1"/>
  <c r="H7" i="1"/>
  <c r="H36" i="1"/>
  <c r="H37" i="1"/>
  <c r="H14" i="1"/>
  <c r="H12" i="1"/>
  <c r="H53" i="1"/>
  <c r="H55" i="1"/>
  <c r="H20" i="1"/>
  <c r="H16" i="1"/>
  <c r="H51" i="1"/>
  <c r="H54" i="1"/>
  <c r="H19" i="1"/>
  <c r="H18" i="1"/>
  <c r="H49" i="1"/>
  <c r="H50" i="1"/>
  <c r="H28" i="1"/>
  <c r="H23" i="1"/>
  <c r="H66" i="1"/>
  <c r="H65" i="1"/>
  <c r="H25" i="1"/>
  <c r="H21" i="1"/>
  <c r="H63" i="1"/>
  <c r="H64" i="1"/>
  <c r="H22" i="1"/>
  <c r="H17" i="1"/>
  <c r="H62" i="1"/>
  <c r="H60" i="1"/>
  <c r="H38" i="1"/>
  <c r="H35" i="1"/>
  <c r="H76" i="1"/>
  <c r="H73" i="1"/>
  <c r="H33" i="1"/>
  <c r="H74" i="1"/>
  <c r="H72" i="1"/>
  <c r="H34" i="1"/>
  <c r="H32" i="1"/>
  <c r="H75" i="1"/>
  <c r="H71" i="1"/>
  <c r="H48" i="1"/>
  <c r="H44" i="1"/>
  <c r="H84" i="1"/>
  <c r="H83" i="1"/>
  <c r="H47" i="1"/>
  <c r="H45" i="1"/>
  <c r="H82" i="1"/>
  <c r="H80" i="1"/>
  <c r="H46" i="1"/>
  <c r="H43" i="1"/>
  <c r="H81" i="1"/>
  <c r="H79" i="1"/>
  <c r="H58" i="1"/>
  <c r="H57" i="1"/>
  <c r="H90" i="1"/>
  <c r="H88" i="1"/>
  <c r="H59" i="1"/>
  <c r="H52" i="1"/>
  <c r="H89" i="1"/>
  <c r="H87" i="1"/>
  <c r="H61" i="1"/>
  <c r="H56" i="1"/>
  <c r="H86" i="1"/>
  <c r="H85" i="1"/>
  <c r="H70" i="1"/>
  <c r="H68" i="1"/>
  <c r="H96" i="1"/>
  <c r="H94" i="1"/>
  <c r="H78" i="1"/>
  <c r="H69" i="1"/>
  <c r="H95" i="1"/>
  <c r="H92" i="1"/>
  <c r="H77" i="1"/>
  <c r="H67" i="1"/>
  <c r="H93" i="1"/>
  <c r="H91" i="1"/>
  <c r="H5" i="1"/>
</calcChain>
</file>

<file path=xl/sharedStrings.xml><?xml version="1.0" encoding="utf-8"?>
<sst xmlns="http://schemas.openxmlformats.org/spreadsheetml/2006/main" count="14" uniqueCount="14">
  <si>
    <t>kappa</t>
  </si>
  <si>
    <t>gamma</t>
  </si>
  <si>
    <t>zeta</t>
  </si>
  <si>
    <t>T</t>
  </si>
  <si>
    <t>D</t>
  </si>
  <si>
    <t>error_opt (%)</t>
  </si>
  <si>
    <t>error_ig (%)</t>
  </si>
  <si>
    <t>Improvement (%)</t>
  </si>
  <si>
    <t>low autonomy, high entropy</t>
  </si>
  <si>
    <t>low autonomy, low entropy</t>
  </si>
  <si>
    <t>med autonomy, high entropy</t>
  </si>
  <si>
    <t>med autonomy, low entropy</t>
  </si>
  <si>
    <t>high autonomy, high entropy</t>
  </si>
  <si>
    <t>high autonomy, low 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</si>
</sst>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7C0D-2EBB-44DC-95F3-4F3C2994D328}">
  <dimension ref="A1:H96"/>
  <sheetViews>
    <sheetView topLeftCell="A9" workbookViewId="0">
      <selection activeCell="A11" sqref="A11:H11"/>
    </sheetView>
  </sheetViews>
  <sheetFormatPr defaultColWidth="18" defaultRowHeight="18" x14ac:dyDescent="0.3"/>
  <cols>
    <col min="1" max="5" width="18" style="1"/>
    <col min="6" max="8" width="18" style="2"/>
    <col min="9" max="16384" width="18" style="1"/>
  </cols>
  <sheetData>
    <row r="1" spans="1: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0.1</v>
      </c>
      <c r="B2" s="1">
        <v>1</v>
      </c>
      <c r="C2" s="1">
        <v>0</v>
      </c>
      <c r="D2" s="1">
        <v>0.01</v>
      </c>
      <c r="E2" s="1">
        <v>64</v>
      </c>
      <c r="F2" s="2">
        <v>8.6945978982530097</v>
      </c>
      <c r="G2" s="2">
        <v>0.15062343793389599</v>
      </c>
      <c r="H2" s="2">
        <f t="shared" ref="H2:H33" si="0">G2-F2</f>
        <v>-8.543974460319113</v>
      </c>
    </row>
    <row r="3" spans="1:8" x14ac:dyDescent="0.3">
      <c r="A3" s="1">
        <v>0.1</v>
      </c>
      <c r="B3" s="1">
        <v>1</v>
      </c>
      <c r="C3" s="1">
        <v>0</v>
      </c>
      <c r="D3" s="1">
        <v>0.01</v>
      </c>
      <c r="E3" s="1">
        <v>128</v>
      </c>
      <c r="F3" s="2">
        <v>8.6652071518177198</v>
      </c>
      <c r="G3" s="2">
        <v>0.15062343793389599</v>
      </c>
      <c r="H3" s="2">
        <f t="shared" si="0"/>
        <v>-8.5145837138838232</v>
      </c>
    </row>
    <row r="4" spans="1:8" x14ac:dyDescent="0.3">
      <c r="A4" s="1">
        <v>0.1</v>
      </c>
      <c r="B4" s="1">
        <v>0.75</v>
      </c>
      <c r="C4" s="1">
        <v>0.25</v>
      </c>
      <c r="D4" s="1">
        <v>0.01</v>
      </c>
      <c r="E4" s="1">
        <v>64</v>
      </c>
      <c r="F4" s="2">
        <v>8.0928602778704093</v>
      </c>
      <c r="G4" s="2">
        <v>0.19564443938027401</v>
      </c>
      <c r="H4" s="2">
        <f t="shared" si="0"/>
        <v>-7.8972158384901352</v>
      </c>
    </row>
    <row r="5" spans="1:8" x14ac:dyDescent="0.3">
      <c r="A5" s="1">
        <v>0.1</v>
      </c>
      <c r="B5" s="1">
        <v>0.5</v>
      </c>
      <c r="C5" s="1">
        <v>0.5</v>
      </c>
      <c r="D5" s="1">
        <v>0.01</v>
      </c>
      <c r="E5" s="1">
        <v>128</v>
      </c>
      <c r="F5" s="2">
        <v>8.0034347659798293</v>
      </c>
      <c r="G5" s="2">
        <v>0.23992315238492801</v>
      </c>
      <c r="H5" s="2">
        <f t="shared" si="0"/>
        <v>-7.7635116135949014</v>
      </c>
    </row>
    <row r="6" spans="1:8" x14ac:dyDescent="0.3">
      <c r="A6" s="1">
        <v>0.2</v>
      </c>
      <c r="B6" s="1">
        <v>0.75</v>
      </c>
      <c r="C6" s="1">
        <v>0.25</v>
      </c>
      <c r="D6" s="1">
        <v>0.01</v>
      </c>
      <c r="E6" s="1">
        <v>128</v>
      </c>
      <c r="F6" s="2">
        <v>7.5405700634755597</v>
      </c>
      <c r="G6" s="2">
        <v>1.48517200307638</v>
      </c>
      <c r="H6" s="2">
        <f t="shared" si="0"/>
        <v>-6.0553980603991793</v>
      </c>
    </row>
    <row r="7" spans="1:8" x14ac:dyDescent="0.3">
      <c r="A7" s="1">
        <v>0.2</v>
      </c>
      <c r="B7" s="1">
        <v>1</v>
      </c>
      <c r="C7" s="1">
        <v>0</v>
      </c>
      <c r="D7" s="1">
        <v>0.01</v>
      </c>
      <c r="E7" s="1">
        <v>64</v>
      </c>
      <c r="F7" s="2">
        <v>7.1430933623935298</v>
      </c>
      <c r="G7" s="2">
        <v>1.36865652231643</v>
      </c>
      <c r="H7" s="2">
        <f t="shared" si="0"/>
        <v>-5.7744368400771</v>
      </c>
    </row>
    <row r="8" spans="1:8" x14ac:dyDescent="0.3">
      <c r="A8" s="1">
        <v>0.1</v>
      </c>
      <c r="B8" s="1">
        <v>0.75</v>
      </c>
      <c r="C8" s="1">
        <v>0.25</v>
      </c>
      <c r="D8" s="1">
        <v>0.01</v>
      </c>
      <c r="E8" s="1">
        <v>128</v>
      </c>
      <c r="F8" s="2">
        <v>5.9131840217081697</v>
      </c>
      <c r="G8" s="2">
        <v>0.19564443938027401</v>
      </c>
      <c r="H8" s="2">
        <f t="shared" si="0"/>
        <v>-5.7175395823278956</v>
      </c>
    </row>
    <row r="9" spans="1:8" x14ac:dyDescent="0.3">
      <c r="A9" s="1">
        <v>0.2</v>
      </c>
      <c r="B9" s="1">
        <v>0.5</v>
      </c>
      <c r="C9" s="1">
        <v>0.5</v>
      </c>
      <c r="D9" s="1">
        <v>0.01</v>
      </c>
      <c r="E9" s="1">
        <v>128</v>
      </c>
      <c r="F9" s="2">
        <v>5.4820715765855699</v>
      </c>
      <c r="G9" s="2">
        <v>-0.156188926362896</v>
      </c>
      <c r="H9" s="2">
        <f t="shared" si="0"/>
        <v>-5.6382605029484658</v>
      </c>
    </row>
    <row r="10" spans="1:8" x14ac:dyDescent="0.3">
      <c r="A10" s="1">
        <v>0.2</v>
      </c>
      <c r="B10" s="1">
        <v>0.5</v>
      </c>
      <c r="C10" s="1">
        <v>0.5</v>
      </c>
      <c r="D10" s="1">
        <v>0.01</v>
      </c>
      <c r="E10" s="1">
        <v>64</v>
      </c>
      <c r="F10" s="2">
        <v>5.4759716993524696</v>
      </c>
      <c r="G10" s="2">
        <v>-0.156188926362896</v>
      </c>
      <c r="H10" s="2">
        <f t="shared" si="0"/>
        <v>-5.6321606257153656</v>
      </c>
    </row>
    <row r="11" spans="1:8" x14ac:dyDescent="0.3">
      <c r="A11" s="1">
        <v>0.1</v>
      </c>
      <c r="B11" s="1">
        <v>0.5</v>
      </c>
      <c r="C11" s="1">
        <v>0.5</v>
      </c>
      <c r="D11" s="1">
        <v>0.01</v>
      </c>
      <c r="E11" s="1">
        <v>64</v>
      </c>
      <c r="F11" s="2">
        <v>5.5241521146606196</v>
      </c>
      <c r="G11" s="2">
        <v>0.23992315238492801</v>
      </c>
      <c r="H11" s="2">
        <f t="shared" si="0"/>
        <v>-5.2842289622756917</v>
      </c>
    </row>
    <row r="12" spans="1:8" x14ac:dyDescent="0.3">
      <c r="A12" s="1">
        <v>0.3</v>
      </c>
      <c r="B12" s="1">
        <v>0.5</v>
      </c>
      <c r="C12" s="1">
        <v>0.5</v>
      </c>
      <c r="D12" s="1">
        <v>0.01</v>
      </c>
      <c r="E12" s="1">
        <v>64</v>
      </c>
      <c r="F12" s="2">
        <v>5.7189505411028598</v>
      </c>
      <c r="G12" s="2">
        <v>0.99889158854430304</v>
      </c>
      <c r="H12" s="2">
        <f t="shared" si="0"/>
        <v>-4.7200589525585563</v>
      </c>
    </row>
    <row r="13" spans="1:8" x14ac:dyDescent="0.3">
      <c r="A13" s="1">
        <v>0.2</v>
      </c>
      <c r="B13" s="1">
        <v>1</v>
      </c>
      <c r="C13" s="1">
        <v>0</v>
      </c>
      <c r="D13" s="1">
        <v>0.01</v>
      </c>
      <c r="E13" s="1">
        <v>128</v>
      </c>
      <c r="F13" s="2">
        <v>6.0146671023259097</v>
      </c>
      <c r="G13" s="2">
        <v>1.36865652231643</v>
      </c>
      <c r="H13" s="2">
        <f t="shared" si="0"/>
        <v>-4.64601058000948</v>
      </c>
    </row>
    <row r="14" spans="1:8" x14ac:dyDescent="0.3">
      <c r="A14" s="1">
        <v>0.3</v>
      </c>
      <c r="B14" s="1">
        <v>0.5</v>
      </c>
      <c r="C14" s="1">
        <v>0.5</v>
      </c>
      <c r="D14" s="1">
        <v>0.01</v>
      </c>
      <c r="E14" s="1">
        <v>128</v>
      </c>
      <c r="F14" s="2">
        <v>5.6217608755023001</v>
      </c>
      <c r="G14" s="2">
        <v>0.99889158854430304</v>
      </c>
      <c r="H14" s="2">
        <f t="shared" si="0"/>
        <v>-4.6228692869579966</v>
      </c>
    </row>
    <row r="15" spans="1:8" x14ac:dyDescent="0.3">
      <c r="A15" s="1">
        <v>0.2</v>
      </c>
      <c r="B15" s="1">
        <v>0.75</v>
      </c>
      <c r="C15" s="1">
        <v>0.25</v>
      </c>
      <c r="D15" s="1">
        <v>0.01</v>
      </c>
      <c r="E15" s="1">
        <v>64</v>
      </c>
      <c r="F15" s="2">
        <v>5.87901637525448</v>
      </c>
      <c r="G15" s="2">
        <v>1.48517200307638</v>
      </c>
      <c r="H15" s="2">
        <f t="shared" si="0"/>
        <v>-4.3938443721780995</v>
      </c>
    </row>
    <row r="16" spans="1:8" x14ac:dyDescent="0.3">
      <c r="A16" s="1">
        <v>0.3</v>
      </c>
      <c r="B16" s="1">
        <v>0.75</v>
      </c>
      <c r="C16" s="1">
        <v>0.25</v>
      </c>
      <c r="D16" s="1">
        <v>0.01</v>
      </c>
      <c r="E16" s="1">
        <v>64</v>
      </c>
      <c r="F16" s="2">
        <v>4.5427956027972396</v>
      </c>
      <c r="G16" s="2">
        <v>0.51722231268979102</v>
      </c>
      <c r="H16" s="2">
        <f t="shared" si="0"/>
        <v>-4.0255732901074488</v>
      </c>
    </row>
    <row r="17" spans="1:8" x14ac:dyDescent="0.3">
      <c r="A17" s="1">
        <v>0.4</v>
      </c>
      <c r="B17" s="1">
        <v>1</v>
      </c>
      <c r="C17" s="1">
        <v>0</v>
      </c>
      <c r="D17" s="1">
        <v>0.01</v>
      </c>
      <c r="E17" s="1">
        <v>64</v>
      </c>
      <c r="F17" s="2">
        <v>7.9831887918293498</v>
      </c>
      <c r="G17" s="2">
        <v>5.5784776084531096</v>
      </c>
      <c r="H17" s="2">
        <f t="shared" si="0"/>
        <v>-2.4047111833762402</v>
      </c>
    </row>
    <row r="18" spans="1:8" x14ac:dyDescent="0.3">
      <c r="A18" s="1">
        <v>0.3</v>
      </c>
      <c r="B18" s="1">
        <v>1</v>
      </c>
      <c r="C18" s="1">
        <v>0</v>
      </c>
      <c r="D18" s="1">
        <v>0.01</v>
      </c>
      <c r="E18" s="1">
        <v>64</v>
      </c>
      <c r="F18" s="2">
        <v>4.8869117380148204</v>
      </c>
      <c r="G18" s="2">
        <v>2.5220853138019002</v>
      </c>
      <c r="H18" s="2">
        <f t="shared" si="0"/>
        <v>-2.3648264242129202</v>
      </c>
    </row>
    <row r="19" spans="1:8" x14ac:dyDescent="0.3">
      <c r="A19" s="1">
        <v>0.3</v>
      </c>
      <c r="B19" s="1">
        <v>1</v>
      </c>
      <c r="C19" s="1">
        <v>0</v>
      </c>
      <c r="D19" s="1">
        <v>0.01</v>
      </c>
      <c r="E19" s="1">
        <v>128</v>
      </c>
      <c r="F19" s="2">
        <v>3.9577138711180702</v>
      </c>
      <c r="G19" s="2">
        <v>2.5220853138019002</v>
      </c>
      <c r="H19" s="2">
        <f t="shared" si="0"/>
        <v>-1.43562855731617</v>
      </c>
    </row>
    <row r="20" spans="1:8" x14ac:dyDescent="0.3">
      <c r="A20" s="1">
        <v>0.3</v>
      </c>
      <c r="B20" s="1">
        <v>0.75</v>
      </c>
      <c r="C20" s="1">
        <v>0.25</v>
      </c>
      <c r="D20" s="1">
        <v>0.01</v>
      </c>
      <c r="E20" s="1">
        <v>128</v>
      </c>
      <c r="F20" s="2">
        <v>0.43318124203022501</v>
      </c>
      <c r="G20" s="2">
        <v>0.51722231268979102</v>
      </c>
      <c r="H20" s="2">
        <f t="shared" si="0"/>
        <v>8.4041070659566008E-2</v>
      </c>
    </row>
    <row r="21" spans="1:8" x14ac:dyDescent="0.3">
      <c r="A21" s="1">
        <v>0.4</v>
      </c>
      <c r="B21" s="1">
        <v>0.75</v>
      </c>
      <c r="C21" s="1">
        <v>0.25</v>
      </c>
      <c r="D21" s="1">
        <v>0.01</v>
      </c>
      <c r="E21" s="1">
        <v>64</v>
      </c>
      <c r="F21" s="2">
        <v>4.3520153840008602</v>
      </c>
      <c r="G21" s="2">
        <v>4.9174357213309001</v>
      </c>
      <c r="H21" s="2">
        <f t="shared" si="0"/>
        <v>0.56542033733003993</v>
      </c>
    </row>
    <row r="22" spans="1:8" x14ac:dyDescent="0.3">
      <c r="A22" s="1">
        <v>0.4</v>
      </c>
      <c r="B22" s="1">
        <v>1</v>
      </c>
      <c r="C22" s="1">
        <v>0</v>
      </c>
      <c r="D22" s="1">
        <v>0.01</v>
      </c>
      <c r="E22" s="1">
        <v>128</v>
      </c>
      <c r="F22" s="2">
        <v>4.9521348208678599</v>
      </c>
      <c r="G22" s="2">
        <v>5.5784776084531096</v>
      </c>
      <c r="H22" s="2">
        <f t="shared" si="0"/>
        <v>0.62634278758524964</v>
      </c>
    </row>
    <row r="23" spans="1:8" x14ac:dyDescent="0.3">
      <c r="A23" s="1">
        <v>0.4</v>
      </c>
      <c r="B23" s="1">
        <v>0.5</v>
      </c>
      <c r="C23" s="1">
        <v>0.5</v>
      </c>
      <c r="D23" s="1">
        <v>0.01</v>
      </c>
      <c r="E23" s="1">
        <v>64</v>
      </c>
      <c r="F23" s="2">
        <v>4.1129370486598704</v>
      </c>
      <c r="G23" s="2">
        <v>5.8526249172558202</v>
      </c>
      <c r="H23" s="2">
        <f t="shared" si="0"/>
        <v>1.7396878685959498</v>
      </c>
    </row>
    <row r="24" spans="1:8" x14ac:dyDescent="0.3">
      <c r="A24" s="1">
        <v>0.1</v>
      </c>
      <c r="B24" s="1">
        <v>1</v>
      </c>
      <c r="C24" s="1">
        <v>0</v>
      </c>
      <c r="D24" s="1">
        <v>1</v>
      </c>
      <c r="E24" s="1">
        <v>128</v>
      </c>
      <c r="F24" s="2">
        <v>1.48866193079135</v>
      </c>
      <c r="G24" s="2">
        <v>3.2926174957177698</v>
      </c>
      <c r="H24" s="2">
        <f t="shared" si="0"/>
        <v>1.8039555649264198</v>
      </c>
    </row>
    <row r="25" spans="1:8" x14ac:dyDescent="0.3">
      <c r="A25" s="1">
        <v>0.4</v>
      </c>
      <c r="B25" s="1">
        <v>0.75</v>
      </c>
      <c r="C25" s="1">
        <v>0.25</v>
      </c>
      <c r="D25" s="1">
        <v>0.01</v>
      </c>
      <c r="E25" s="1">
        <v>128</v>
      </c>
      <c r="F25" s="2">
        <v>3.09816524911033</v>
      </c>
      <c r="G25" s="2">
        <v>4.9174357213309001</v>
      </c>
      <c r="H25" s="2">
        <f t="shared" si="0"/>
        <v>1.8192704722205701</v>
      </c>
    </row>
    <row r="26" spans="1:8" x14ac:dyDescent="0.3">
      <c r="A26" s="1">
        <v>0.1</v>
      </c>
      <c r="B26" s="1">
        <v>0.75</v>
      </c>
      <c r="C26" s="1">
        <v>0.25</v>
      </c>
      <c r="D26" s="1">
        <v>1</v>
      </c>
      <c r="E26" s="1">
        <v>128</v>
      </c>
      <c r="F26" s="2">
        <v>1.5014540132344101</v>
      </c>
      <c r="G26" s="2">
        <v>3.3334363869302202</v>
      </c>
      <c r="H26" s="2">
        <f t="shared" si="0"/>
        <v>1.8319823736958101</v>
      </c>
    </row>
    <row r="27" spans="1:8" x14ac:dyDescent="0.3">
      <c r="A27" s="1">
        <v>0.1</v>
      </c>
      <c r="B27" s="1">
        <v>0.5</v>
      </c>
      <c r="C27" s="1">
        <v>0.5</v>
      </c>
      <c r="D27" s="1">
        <v>1</v>
      </c>
      <c r="E27" s="1">
        <v>128</v>
      </c>
      <c r="F27" s="2">
        <v>1.15653009502013</v>
      </c>
      <c r="G27" s="2">
        <v>3.3740679252737502</v>
      </c>
      <c r="H27" s="2">
        <f t="shared" si="0"/>
        <v>2.2175378302536202</v>
      </c>
    </row>
    <row r="28" spans="1:8" x14ac:dyDescent="0.3">
      <c r="A28" s="1">
        <v>0.4</v>
      </c>
      <c r="B28" s="1">
        <v>0.5</v>
      </c>
      <c r="C28" s="1">
        <v>0.5</v>
      </c>
      <c r="D28" s="1">
        <v>0.01</v>
      </c>
      <c r="E28" s="1">
        <v>128</v>
      </c>
      <c r="F28" s="2">
        <v>2.84776624938279</v>
      </c>
      <c r="G28" s="2">
        <v>5.8526249172558202</v>
      </c>
      <c r="H28" s="2">
        <f t="shared" si="0"/>
        <v>3.0048586678730302</v>
      </c>
    </row>
    <row r="29" spans="1:8" x14ac:dyDescent="0.3">
      <c r="A29" s="1">
        <v>0.1</v>
      </c>
      <c r="B29" s="1">
        <v>0.75</v>
      </c>
      <c r="C29" s="1">
        <v>0.25</v>
      </c>
      <c r="D29" s="1">
        <v>1</v>
      </c>
      <c r="E29" s="1">
        <v>64</v>
      </c>
      <c r="F29" s="2">
        <v>-0.33192135596925798</v>
      </c>
      <c r="G29" s="2">
        <v>3.3334363869302202</v>
      </c>
      <c r="H29" s="2">
        <f t="shared" si="0"/>
        <v>3.6653577428994781</v>
      </c>
    </row>
    <row r="30" spans="1:8" x14ac:dyDescent="0.3">
      <c r="A30" s="1">
        <v>0.1</v>
      </c>
      <c r="B30" s="1">
        <v>1</v>
      </c>
      <c r="C30" s="1">
        <v>0</v>
      </c>
      <c r="D30" s="1">
        <v>1</v>
      </c>
      <c r="E30" s="1">
        <v>64</v>
      </c>
      <c r="F30" s="2">
        <v>-0.41722979096301499</v>
      </c>
      <c r="G30" s="2">
        <v>3.2926174957177698</v>
      </c>
      <c r="H30" s="2">
        <f t="shared" si="0"/>
        <v>3.7098472866807848</v>
      </c>
    </row>
    <row r="31" spans="1:8" x14ac:dyDescent="0.3">
      <c r="A31" s="1">
        <v>0.1</v>
      </c>
      <c r="B31" s="1">
        <v>0.5</v>
      </c>
      <c r="C31" s="1">
        <v>0.5</v>
      </c>
      <c r="D31" s="1">
        <v>1</v>
      </c>
      <c r="E31" s="1">
        <v>64</v>
      </c>
      <c r="F31" s="2">
        <v>-0.41400183910338501</v>
      </c>
      <c r="G31" s="2">
        <v>3.3740679252737502</v>
      </c>
      <c r="H31" s="2">
        <f t="shared" si="0"/>
        <v>3.7880697643771351</v>
      </c>
    </row>
    <row r="32" spans="1:8" x14ac:dyDescent="0.3">
      <c r="A32" s="1">
        <v>0.5</v>
      </c>
      <c r="B32" s="1">
        <v>1</v>
      </c>
      <c r="C32" s="1">
        <v>0</v>
      </c>
      <c r="D32" s="1">
        <v>0.01</v>
      </c>
      <c r="E32" s="1">
        <v>64</v>
      </c>
      <c r="F32" s="2">
        <v>3.77487820873265</v>
      </c>
      <c r="G32" s="2">
        <v>10.230504089938799</v>
      </c>
      <c r="H32" s="2">
        <f t="shared" si="0"/>
        <v>6.4556258812061493</v>
      </c>
    </row>
    <row r="33" spans="1:8" x14ac:dyDescent="0.3">
      <c r="A33" s="1">
        <v>0.5</v>
      </c>
      <c r="B33" s="1">
        <v>0.75</v>
      </c>
      <c r="C33" s="1">
        <v>0.25</v>
      </c>
      <c r="D33" s="1">
        <v>0.01</v>
      </c>
      <c r="E33" s="1">
        <v>64</v>
      </c>
      <c r="F33" s="2">
        <v>3.9122089989386701</v>
      </c>
      <c r="G33" s="2">
        <v>11.586140851849899</v>
      </c>
      <c r="H33" s="2">
        <f t="shared" si="0"/>
        <v>7.6739318529112293</v>
      </c>
    </row>
    <row r="34" spans="1:8" x14ac:dyDescent="0.3">
      <c r="A34" s="1">
        <v>0.5</v>
      </c>
      <c r="B34" s="1">
        <v>1</v>
      </c>
      <c r="C34" s="1">
        <v>0</v>
      </c>
      <c r="D34" s="1">
        <v>0.01</v>
      </c>
      <c r="E34" s="1">
        <v>128</v>
      </c>
      <c r="F34" s="2">
        <v>1.52943218483344</v>
      </c>
      <c r="G34" s="2">
        <v>10.230504089938799</v>
      </c>
      <c r="H34" s="2">
        <f t="shared" ref="H34:H65" si="1">G34-F34</f>
        <v>8.7010719051053584</v>
      </c>
    </row>
    <row r="35" spans="1:8" x14ac:dyDescent="0.3">
      <c r="A35" s="1">
        <v>0.5</v>
      </c>
      <c r="B35" s="1">
        <v>0.5</v>
      </c>
      <c r="C35" s="1">
        <v>0.5</v>
      </c>
      <c r="D35" s="1">
        <v>0.01</v>
      </c>
      <c r="E35" s="1">
        <v>64</v>
      </c>
      <c r="F35" s="2">
        <v>4.5178961534042896</v>
      </c>
      <c r="G35" s="2">
        <v>13.813174253113701</v>
      </c>
      <c r="H35" s="2">
        <f t="shared" si="1"/>
        <v>9.2952780997094102</v>
      </c>
    </row>
    <row r="36" spans="1:8" x14ac:dyDescent="0.3">
      <c r="A36" s="1">
        <v>0.2</v>
      </c>
      <c r="B36" s="1">
        <v>1</v>
      </c>
      <c r="C36" s="1">
        <v>0</v>
      </c>
      <c r="D36" s="1">
        <v>1</v>
      </c>
      <c r="E36" s="1">
        <v>128</v>
      </c>
      <c r="F36" s="2">
        <v>3.3923831832342901</v>
      </c>
      <c r="G36" s="2">
        <v>14.482324540086999</v>
      </c>
      <c r="H36" s="2">
        <f t="shared" si="1"/>
        <v>11.089941356852709</v>
      </c>
    </row>
    <row r="37" spans="1:8" x14ac:dyDescent="0.3">
      <c r="A37" s="1">
        <v>0.2</v>
      </c>
      <c r="B37" s="1">
        <v>1</v>
      </c>
      <c r="C37" s="1">
        <v>0</v>
      </c>
      <c r="D37" s="1">
        <v>1</v>
      </c>
      <c r="E37" s="1">
        <v>64</v>
      </c>
      <c r="F37" s="2">
        <v>2.9514599420615899</v>
      </c>
      <c r="G37" s="2">
        <v>14.482324540086999</v>
      </c>
      <c r="H37" s="2">
        <f t="shared" si="1"/>
        <v>11.53086459802541</v>
      </c>
    </row>
    <row r="38" spans="1:8" x14ac:dyDescent="0.3">
      <c r="A38" s="1">
        <v>0.5</v>
      </c>
      <c r="B38" s="1">
        <v>0.5</v>
      </c>
      <c r="C38" s="1">
        <v>0.5</v>
      </c>
      <c r="D38" s="1">
        <v>0.01</v>
      </c>
      <c r="E38" s="1">
        <v>128</v>
      </c>
      <c r="F38" s="2">
        <v>1.83375856330741</v>
      </c>
      <c r="G38" s="2">
        <v>13.813174253113701</v>
      </c>
      <c r="H38" s="2">
        <f t="shared" si="1"/>
        <v>11.979415689806292</v>
      </c>
    </row>
    <row r="39" spans="1:8" x14ac:dyDescent="0.3">
      <c r="A39" s="1">
        <v>0.2</v>
      </c>
      <c r="B39" s="1">
        <v>0.5</v>
      </c>
      <c r="C39" s="1">
        <v>0.5</v>
      </c>
      <c r="D39" s="1">
        <v>1</v>
      </c>
      <c r="E39" s="1">
        <v>128</v>
      </c>
      <c r="F39" s="2">
        <v>2.4467380163920098</v>
      </c>
      <c r="G39" s="2">
        <v>14.6486694488623</v>
      </c>
      <c r="H39" s="2">
        <f t="shared" si="1"/>
        <v>12.201931432470291</v>
      </c>
    </row>
    <row r="40" spans="1:8" x14ac:dyDescent="0.3">
      <c r="A40" s="1">
        <v>0.2</v>
      </c>
      <c r="B40" s="1">
        <v>0.75</v>
      </c>
      <c r="C40" s="1">
        <v>0.25</v>
      </c>
      <c r="D40" s="1">
        <v>1</v>
      </c>
      <c r="E40" s="1">
        <v>64</v>
      </c>
      <c r="F40" s="2">
        <v>2.12239740512234</v>
      </c>
      <c r="G40" s="2">
        <v>14.5657803726046</v>
      </c>
      <c r="H40" s="2">
        <f t="shared" si="1"/>
        <v>12.443382967482259</v>
      </c>
    </row>
    <row r="41" spans="1:8" x14ac:dyDescent="0.3">
      <c r="A41" s="1">
        <v>0.2</v>
      </c>
      <c r="B41" s="1">
        <v>0.5</v>
      </c>
      <c r="C41" s="1">
        <v>0.5</v>
      </c>
      <c r="D41" s="1">
        <v>1</v>
      </c>
      <c r="E41" s="1">
        <v>64</v>
      </c>
      <c r="F41" s="2">
        <v>1.7692253547313299</v>
      </c>
      <c r="G41" s="2">
        <v>14.6486694488623</v>
      </c>
      <c r="H41" s="2">
        <f t="shared" si="1"/>
        <v>12.879444094130971</v>
      </c>
    </row>
    <row r="42" spans="1:8" x14ac:dyDescent="0.3">
      <c r="A42" s="1">
        <v>0.2</v>
      </c>
      <c r="B42" s="1">
        <v>0.75</v>
      </c>
      <c r="C42" s="1">
        <v>0.25</v>
      </c>
      <c r="D42" s="1">
        <v>1</v>
      </c>
      <c r="E42" s="1">
        <v>128</v>
      </c>
      <c r="F42" s="2">
        <v>1.28332551871402</v>
      </c>
      <c r="G42" s="2">
        <v>14.5657803726046</v>
      </c>
      <c r="H42" s="2">
        <f t="shared" si="1"/>
        <v>13.282454853890579</v>
      </c>
    </row>
    <row r="43" spans="1:8" x14ac:dyDescent="0.3">
      <c r="A43" s="1">
        <v>0.6</v>
      </c>
      <c r="B43" s="1">
        <v>1</v>
      </c>
      <c r="C43" s="1">
        <v>0</v>
      </c>
      <c r="D43" s="1">
        <v>0.01</v>
      </c>
      <c r="E43" s="1">
        <v>64</v>
      </c>
      <c r="F43" s="2">
        <v>7.1221017256612802</v>
      </c>
      <c r="G43" s="2">
        <v>22.5526992408873</v>
      </c>
      <c r="H43" s="2">
        <f t="shared" si="1"/>
        <v>15.430597515226019</v>
      </c>
    </row>
    <row r="44" spans="1:8" x14ac:dyDescent="0.3">
      <c r="A44" s="1">
        <v>0.6</v>
      </c>
      <c r="B44" s="1">
        <v>0.5</v>
      </c>
      <c r="C44" s="1">
        <v>0.5</v>
      </c>
      <c r="D44" s="1">
        <v>0.01</v>
      </c>
      <c r="E44" s="1">
        <v>64</v>
      </c>
      <c r="F44" s="2">
        <v>7.5143076127826403</v>
      </c>
      <c r="G44" s="2">
        <v>23.760671866385</v>
      </c>
      <c r="H44" s="2">
        <f t="shared" si="1"/>
        <v>16.246364253602358</v>
      </c>
    </row>
    <row r="45" spans="1:8" x14ac:dyDescent="0.3">
      <c r="A45" s="1">
        <v>0.6</v>
      </c>
      <c r="B45" s="1">
        <v>0.75</v>
      </c>
      <c r="C45" s="1">
        <v>0.25</v>
      </c>
      <c r="D45" s="1">
        <v>0.01</v>
      </c>
      <c r="E45" s="1">
        <v>64</v>
      </c>
      <c r="F45" s="2">
        <v>3.6245661053893299</v>
      </c>
      <c r="G45" s="2">
        <v>21.9500396260595</v>
      </c>
      <c r="H45" s="2">
        <f t="shared" si="1"/>
        <v>18.325473520670169</v>
      </c>
    </row>
    <row r="46" spans="1:8" x14ac:dyDescent="0.3">
      <c r="A46" s="1">
        <v>0.6</v>
      </c>
      <c r="B46" s="1">
        <v>1</v>
      </c>
      <c r="C46" s="1">
        <v>0</v>
      </c>
      <c r="D46" s="1">
        <v>0.01</v>
      </c>
      <c r="E46" s="1">
        <v>128</v>
      </c>
      <c r="F46" s="2">
        <v>3.2501097077722299</v>
      </c>
      <c r="G46" s="2">
        <v>22.5526992408873</v>
      </c>
      <c r="H46" s="2">
        <f t="shared" si="1"/>
        <v>19.302589533115071</v>
      </c>
    </row>
    <row r="47" spans="1:8" x14ac:dyDescent="0.3">
      <c r="A47" s="1">
        <v>0.6</v>
      </c>
      <c r="B47" s="1">
        <v>0.75</v>
      </c>
      <c r="C47" s="1">
        <v>0.25</v>
      </c>
      <c r="D47" s="1">
        <v>0.01</v>
      </c>
      <c r="E47" s="1">
        <v>128</v>
      </c>
      <c r="F47" s="2">
        <v>2.1786351940001598</v>
      </c>
      <c r="G47" s="2">
        <v>21.9500396260595</v>
      </c>
      <c r="H47" s="2">
        <f t="shared" si="1"/>
        <v>19.771404432059342</v>
      </c>
    </row>
    <row r="48" spans="1:8" x14ac:dyDescent="0.3">
      <c r="A48" s="1">
        <v>0.6</v>
      </c>
      <c r="B48" s="1">
        <v>0.5</v>
      </c>
      <c r="C48" s="1">
        <v>0.5</v>
      </c>
      <c r="D48" s="1">
        <v>0.01</v>
      </c>
      <c r="E48" s="1">
        <v>128</v>
      </c>
      <c r="F48" s="2">
        <v>2.8072002929192998</v>
      </c>
      <c r="G48" s="2">
        <v>23.760671866385</v>
      </c>
      <c r="H48" s="2">
        <f t="shared" si="1"/>
        <v>20.953471573465698</v>
      </c>
    </row>
    <row r="49" spans="1:8" x14ac:dyDescent="0.3">
      <c r="A49" s="1">
        <v>0.3</v>
      </c>
      <c r="B49" s="1">
        <v>1</v>
      </c>
      <c r="C49" s="1">
        <v>0</v>
      </c>
      <c r="D49" s="1">
        <v>1</v>
      </c>
      <c r="E49" s="1">
        <v>128</v>
      </c>
      <c r="F49" s="2">
        <v>3.08628048342442</v>
      </c>
      <c r="G49" s="2">
        <v>25.7063889562151</v>
      </c>
      <c r="H49" s="2">
        <f t="shared" si="1"/>
        <v>22.62010847279068</v>
      </c>
    </row>
    <row r="50" spans="1:8" x14ac:dyDescent="0.3">
      <c r="A50" s="1">
        <v>0.3</v>
      </c>
      <c r="B50" s="1">
        <v>1</v>
      </c>
      <c r="C50" s="1">
        <v>0</v>
      </c>
      <c r="D50" s="1">
        <v>1</v>
      </c>
      <c r="E50" s="1">
        <v>64</v>
      </c>
      <c r="F50" s="2">
        <v>2.5942776012014299</v>
      </c>
      <c r="G50" s="2">
        <v>25.7063889562151</v>
      </c>
      <c r="H50" s="2">
        <f t="shared" si="1"/>
        <v>23.112111355013671</v>
      </c>
    </row>
    <row r="51" spans="1:8" x14ac:dyDescent="0.3">
      <c r="A51" s="1">
        <v>0.3</v>
      </c>
      <c r="B51" s="1">
        <v>0.75</v>
      </c>
      <c r="C51" s="1">
        <v>0.25</v>
      </c>
      <c r="D51" s="1">
        <v>1</v>
      </c>
      <c r="E51" s="1">
        <v>128</v>
      </c>
      <c r="F51" s="2">
        <v>1.8757382509588401</v>
      </c>
      <c r="G51" s="2">
        <v>25.831666322534002</v>
      </c>
      <c r="H51" s="2">
        <f t="shared" si="1"/>
        <v>23.955928071575162</v>
      </c>
    </row>
    <row r="52" spans="1:8" x14ac:dyDescent="0.3">
      <c r="A52" s="1">
        <v>0.7</v>
      </c>
      <c r="B52" s="1">
        <v>0.75</v>
      </c>
      <c r="C52" s="1">
        <v>0.25</v>
      </c>
      <c r="D52" s="1">
        <v>0.01</v>
      </c>
      <c r="E52" s="1">
        <v>64</v>
      </c>
      <c r="F52" s="2">
        <v>12.9954551903419</v>
      </c>
      <c r="G52" s="2">
        <v>37.016705013658701</v>
      </c>
      <c r="H52" s="2">
        <f t="shared" si="1"/>
        <v>24.021249823316801</v>
      </c>
    </row>
    <row r="53" spans="1:8" x14ac:dyDescent="0.3">
      <c r="A53" s="1">
        <v>0.3</v>
      </c>
      <c r="B53" s="1">
        <v>0.5</v>
      </c>
      <c r="C53" s="1">
        <v>0.5</v>
      </c>
      <c r="D53" s="1">
        <v>1</v>
      </c>
      <c r="E53" s="1">
        <v>128</v>
      </c>
      <c r="F53" s="2">
        <v>1.9193289487361</v>
      </c>
      <c r="G53" s="2">
        <v>25.952508762057299</v>
      </c>
      <c r="H53" s="2">
        <f t="shared" si="1"/>
        <v>24.033179813321198</v>
      </c>
    </row>
    <row r="54" spans="1:8" x14ac:dyDescent="0.3">
      <c r="A54" s="1">
        <v>0.3</v>
      </c>
      <c r="B54" s="1">
        <v>0.75</v>
      </c>
      <c r="C54" s="1">
        <v>0.25</v>
      </c>
      <c r="D54" s="1">
        <v>1</v>
      </c>
      <c r="E54" s="1">
        <v>64</v>
      </c>
      <c r="F54" s="2">
        <v>1.7135180359495199</v>
      </c>
      <c r="G54" s="2">
        <v>25.831666322534002</v>
      </c>
      <c r="H54" s="2">
        <f t="shared" si="1"/>
        <v>24.118148286584482</v>
      </c>
    </row>
    <row r="55" spans="1:8" x14ac:dyDescent="0.3">
      <c r="A55" s="1">
        <v>0.3</v>
      </c>
      <c r="B55" s="1">
        <v>0.5</v>
      </c>
      <c r="C55" s="1">
        <v>0.5</v>
      </c>
      <c r="D55" s="1">
        <v>1</v>
      </c>
      <c r="E55" s="1">
        <v>64</v>
      </c>
      <c r="F55" s="2">
        <v>1.7645443104884699</v>
      </c>
      <c r="G55" s="2">
        <v>25.952508762057299</v>
      </c>
      <c r="H55" s="2">
        <f t="shared" si="1"/>
        <v>24.187964451568828</v>
      </c>
    </row>
    <row r="56" spans="1:8" x14ac:dyDescent="0.3">
      <c r="A56" s="1">
        <v>0.7</v>
      </c>
      <c r="B56" s="1">
        <v>1</v>
      </c>
      <c r="C56" s="1">
        <v>0</v>
      </c>
      <c r="D56" s="1">
        <v>0.01</v>
      </c>
      <c r="E56" s="1">
        <v>64</v>
      </c>
      <c r="F56" s="2">
        <v>10.1564739464472</v>
      </c>
      <c r="G56" s="2">
        <v>37.611196492425798</v>
      </c>
      <c r="H56" s="2">
        <f t="shared" si="1"/>
        <v>27.454722545978598</v>
      </c>
    </row>
    <row r="57" spans="1:8" x14ac:dyDescent="0.3">
      <c r="A57" s="1">
        <v>0.7</v>
      </c>
      <c r="B57" s="1">
        <v>0.5</v>
      </c>
      <c r="C57" s="1">
        <v>0.5</v>
      </c>
      <c r="D57" s="1">
        <v>0.01</v>
      </c>
      <c r="E57" s="1">
        <v>64</v>
      </c>
      <c r="F57" s="2">
        <v>5.4741163718581296</v>
      </c>
      <c r="G57" s="2">
        <v>36.6463023932357</v>
      </c>
      <c r="H57" s="2">
        <f t="shared" si="1"/>
        <v>31.17218602137757</v>
      </c>
    </row>
    <row r="58" spans="1:8" x14ac:dyDescent="0.3">
      <c r="A58" s="1">
        <v>0.7</v>
      </c>
      <c r="B58" s="1">
        <v>0.5</v>
      </c>
      <c r="C58" s="1">
        <v>0.5</v>
      </c>
      <c r="D58" s="1">
        <v>0.01</v>
      </c>
      <c r="E58" s="1">
        <v>128</v>
      </c>
      <c r="F58" s="2">
        <v>3.38677498323697</v>
      </c>
      <c r="G58" s="2">
        <v>36.6463023932357</v>
      </c>
      <c r="H58" s="2">
        <f t="shared" si="1"/>
        <v>33.259527409998732</v>
      </c>
    </row>
    <row r="59" spans="1:8" x14ac:dyDescent="0.3">
      <c r="A59" s="1">
        <v>0.7</v>
      </c>
      <c r="B59" s="1">
        <v>0.75</v>
      </c>
      <c r="C59" s="1">
        <v>0.25</v>
      </c>
      <c r="D59" s="1">
        <v>0.01</v>
      </c>
      <c r="E59" s="1">
        <v>128</v>
      </c>
      <c r="F59" s="2">
        <v>3.6612895102844099</v>
      </c>
      <c r="G59" s="2">
        <v>37.016705013658701</v>
      </c>
      <c r="H59" s="2">
        <f t="shared" si="1"/>
        <v>33.355415503374289</v>
      </c>
    </row>
    <row r="60" spans="1:8" x14ac:dyDescent="0.3">
      <c r="A60" s="1">
        <v>0.4</v>
      </c>
      <c r="B60" s="1">
        <v>1</v>
      </c>
      <c r="C60" s="1">
        <v>0</v>
      </c>
      <c r="D60" s="1">
        <v>1</v>
      </c>
      <c r="E60" s="1">
        <v>64</v>
      </c>
      <c r="F60" s="2">
        <v>2.7096782606691598</v>
      </c>
      <c r="G60" s="2">
        <v>36.996651862489102</v>
      </c>
      <c r="H60" s="2">
        <f t="shared" si="1"/>
        <v>34.286973601819945</v>
      </c>
    </row>
    <row r="61" spans="1:8" x14ac:dyDescent="0.3">
      <c r="A61" s="1">
        <v>0.7</v>
      </c>
      <c r="B61" s="1">
        <v>1</v>
      </c>
      <c r="C61" s="1">
        <v>0</v>
      </c>
      <c r="D61" s="1">
        <v>0.01</v>
      </c>
      <c r="E61" s="1">
        <v>128</v>
      </c>
      <c r="F61" s="2">
        <v>3.0180711063091099</v>
      </c>
      <c r="G61" s="2">
        <v>37.611196492425798</v>
      </c>
      <c r="H61" s="2">
        <f t="shared" si="1"/>
        <v>34.593125386116689</v>
      </c>
    </row>
    <row r="62" spans="1:8" x14ac:dyDescent="0.3">
      <c r="A62" s="1">
        <v>0.4</v>
      </c>
      <c r="B62" s="1">
        <v>1</v>
      </c>
      <c r="C62" s="1">
        <v>0</v>
      </c>
      <c r="D62" s="1">
        <v>1</v>
      </c>
      <c r="E62" s="1">
        <v>128</v>
      </c>
      <c r="F62" s="2">
        <v>2.0606818207671398</v>
      </c>
      <c r="G62" s="2">
        <v>36.996651862489102</v>
      </c>
      <c r="H62" s="2">
        <f t="shared" si="1"/>
        <v>34.935970041721966</v>
      </c>
    </row>
    <row r="63" spans="1:8" x14ac:dyDescent="0.3">
      <c r="A63" s="1">
        <v>0.4</v>
      </c>
      <c r="B63" s="1">
        <v>0.75</v>
      </c>
      <c r="C63" s="1">
        <v>0.25</v>
      </c>
      <c r="D63" s="1">
        <v>1</v>
      </c>
      <c r="E63" s="1">
        <v>128</v>
      </c>
      <c r="F63" s="2">
        <v>1.8361293194322399</v>
      </c>
      <c r="G63" s="2">
        <v>37.168350904948603</v>
      </c>
      <c r="H63" s="2">
        <f t="shared" si="1"/>
        <v>35.332221585516365</v>
      </c>
    </row>
    <row r="64" spans="1:8" x14ac:dyDescent="0.3">
      <c r="A64" s="1">
        <v>0.4</v>
      </c>
      <c r="B64" s="1">
        <v>0.75</v>
      </c>
      <c r="C64" s="1">
        <v>0.25</v>
      </c>
      <c r="D64" s="1">
        <v>1</v>
      </c>
      <c r="E64" s="1">
        <v>64</v>
      </c>
      <c r="F64" s="2">
        <v>1.7964842934526599</v>
      </c>
      <c r="G64" s="2">
        <v>37.168350904948603</v>
      </c>
      <c r="H64" s="2">
        <f t="shared" si="1"/>
        <v>35.371866611495946</v>
      </c>
    </row>
    <row r="65" spans="1:8" x14ac:dyDescent="0.3">
      <c r="A65" s="1">
        <v>0.4</v>
      </c>
      <c r="B65" s="1">
        <v>0.5</v>
      </c>
      <c r="C65" s="1">
        <v>0.5</v>
      </c>
      <c r="D65" s="1">
        <v>1</v>
      </c>
      <c r="E65" s="1">
        <v>64</v>
      </c>
      <c r="F65" s="2">
        <v>1.92111351131325</v>
      </c>
      <c r="G65" s="2">
        <v>37.340122493994301</v>
      </c>
      <c r="H65" s="2">
        <f t="shared" si="1"/>
        <v>35.419008982681049</v>
      </c>
    </row>
    <row r="66" spans="1:8" x14ac:dyDescent="0.3">
      <c r="A66" s="1">
        <v>0.4</v>
      </c>
      <c r="B66" s="1">
        <v>0.5</v>
      </c>
      <c r="C66" s="1">
        <v>0.5</v>
      </c>
      <c r="D66" s="1">
        <v>1</v>
      </c>
      <c r="E66" s="1">
        <v>128</v>
      </c>
      <c r="F66" s="2">
        <v>1.6950961533534701</v>
      </c>
      <c r="G66" s="2">
        <v>37.340122493994301</v>
      </c>
      <c r="H66" s="2">
        <f t="shared" ref="H66:H97" si="2">G66-F66</f>
        <v>35.645026340640833</v>
      </c>
    </row>
    <row r="67" spans="1:8" x14ac:dyDescent="0.3">
      <c r="A67" s="1">
        <v>0.8</v>
      </c>
      <c r="B67" s="1">
        <v>1</v>
      </c>
      <c r="C67" s="1">
        <v>0</v>
      </c>
      <c r="D67" s="1">
        <v>0.01</v>
      </c>
      <c r="E67" s="1">
        <v>64</v>
      </c>
      <c r="F67" s="2">
        <v>19.545227366953</v>
      </c>
      <c r="G67" s="2">
        <v>59.469573790986502</v>
      </c>
      <c r="H67" s="2">
        <f t="shared" si="2"/>
        <v>39.924346424033502</v>
      </c>
    </row>
    <row r="68" spans="1:8" x14ac:dyDescent="0.3">
      <c r="A68" s="1">
        <v>0.8</v>
      </c>
      <c r="B68" s="1">
        <v>0.5</v>
      </c>
      <c r="C68" s="1">
        <v>0.5</v>
      </c>
      <c r="D68" s="1">
        <v>0.01</v>
      </c>
      <c r="E68" s="1">
        <v>64</v>
      </c>
      <c r="F68" s="2">
        <v>9.5888996142757499</v>
      </c>
      <c r="G68" s="2">
        <v>52.449373915270499</v>
      </c>
      <c r="H68" s="2">
        <f t="shared" si="2"/>
        <v>42.860474300994753</v>
      </c>
    </row>
    <row r="69" spans="1:8" x14ac:dyDescent="0.3">
      <c r="A69" s="1">
        <v>0.8</v>
      </c>
      <c r="B69" s="1">
        <v>0.75</v>
      </c>
      <c r="C69" s="1">
        <v>0.25</v>
      </c>
      <c r="D69" s="1">
        <v>0.01</v>
      </c>
      <c r="E69" s="1">
        <v>64</v>
      </c>
      <c r="F69" s="2">
        <v>14.0070823142369</v>
      </c>
      <c r="G69" s="2">
        <v>59.792704762918603</v>
      </c>
      <c r="H69" s="2">
        <f t="shared" si="2"/>
        <v>45.785622448681707</v>
      </c>
    </row>
    <row r="70" spans="1:8" x14ac:dyDescent="0.3">
      <c r="A70" s="1">
        <v>0.8</v>
      </c>
      <c r="B70" s="1">
        <v>0.5</v>
      </c>
      <c r="C70" s="1">
        <v>0.5</v>
      </c>
      <c r="D70" s="1">
        <v>0.01</v>
      </c>
      <c r="E70" s="1">
        <v>128</v>
      </c>
      <c r="F70" s="2">
        <v>6.2427418263357</v>
      </c>
      <c r="G70" s="2">
        <v>52.449373915270499</v>
      </c>
      <c r="H70" s="2">
        <f t="shared" si="2"/>
        <v>46.206632088934796</v>
      </c>
    </row>
    <row r="71" spans="1:8" x14ac:dyDescent="0.3">
      <c r="A71" s="1">
        <v>0.5</v>
      </c>
      <c r="B71" s="1">
        <v>1</v>
      </c>
      <c r="C71" s="1">
        <v>0</v>
      </c>
      <c r="D71" s="1">
        <v>1</v>
      </c>
      <c r="E71" s="1">
        <v>64</v>
      </c>
      <c r="F71" s="2">
        <v>1.88523537611257</v>
      </c>
      <c r="G71" s="2">
        <v>48.336338228088799</v>
      </c>
      <c r="H71" s="2">
        <f t="shared" si="2"/>
        <v>46.451102851976231</v>
      </c>
    </row>
    <row r="72" spans="1:8" x14ac:dyDescent="0.3">
      <c r="A72" s="1">
        <v>0.5</v>
      </c>
      <c r="B72" s="1">
        <v>0.75</v>
      </c>
      <c r="C72" s="1">
        <v>0.25</v>
      </c>
      <c r="D72" s="1">
        <v>1</v>
      </c>
      <c r="E72" s="1">
        <v>64</v>
      </c>
      <c r="F72" s="2">
        <v>1.89935194098635</v>
      </c>
      <c r="G72" s="2">
        <v>48.563357936514201</v>
      </c>
      <c r="H72" s="2">
        <f t="shared" si="2"/>
        <v>46.664005995527852</v>
      </c>
    </row>
    <row r="73" spans="1:8" x14ac:dyDescent="0.3">
      <c r="A73" s="1">
        <v>0.5</v>
      </c>
      <c r="B73" s="1">
        <v>0.5</v>
      </c>
      <c r="C73" s="1">
        <v>0.5</v>
      </c>
      <c r="D73" s="1">
        <v>1</v>
      </c>
      <c r="E73" s="1">
        <v>64</v>
      </c>
      <c r="F73" s="2">
        <v>2.1031220390881602</v>
      </c>
      <c r="G73" s="2">
        <v>48.7901863810864</v>
      </c>
      <c r="H73" s="2">
        <f t="shared" si="2"/>
        <v>46.687064341998237</v>
      </c>
    </row>
    <row r="74" spans="1:8" x14ac:dyDescent="0.3">
      <c r="A74" s="1">
        <v>0.5</v>
      </c>
      <c r="B74" s="1">
        <v>0.75</v>
      </c>
      <c r="C74" s="1">
        <v>0.25</v>
      </c>
      <c r="D74" s="1">
        <v>1</v>
      </c>
      <c r="E74" s="1">
        <v>128</v>
      </c>
      <c r="F74" s="2">
        <v>1.8173469985556501</v>
      </c>
      <c r="G74" s="2">
        <v>48.563357936514201</v>
      </c>
      <c r="H74" s="2">
        <f t="shared" si="2"/>
        <v>46.746010937958552</v>
      </c>
    </row>
    <row r="75" spans="1:8" x14ac:dyDescent="0.3">
      <c r="A75" s="1">
        <v>0.5</v>
      </c>
      <c r="B75" s="1">
        <v>1</v>
      </c>
      <c r="C75" s="1">
        <v>0</v>
      </c>
      <c r="D75" s="1">
        <v>1</v>
      </c>
      <c r="E75" s="1">
        <v>128</v>
      </c>
      <c r="F75" s="2">
        <v>1.58595962920056</v>
      </c>
      <c r="G75" s="2">
        <v>48.336338228088799</v>
      </c>
      <c r="H75" s="2">
        <f t="shared" si="2"/>
        <v>46.75037859888824</v>
      </c>
    </row>
    <row r="76" spans="1:8" x14ac:dyDescent="0.3">
      <c r="A76" s="1">
        <v>0.5</v>
      </c>
      <c r="B76" s="1">
        <v>0.5</v>
      </c>
      <c r="C76" s="1">
        <v>0.5</v>
      </c>
      <c r="D76" s="1">
        <v>1</v>
      </c>
      <c r="E76" s="1">
        <v>128</v>
      </c>
      <c r="F76" s="2">
        <v>1.6704964276571901</v>
      </c>
      <c r="G76" s="2">
        <v>48.7901863810864</v>
      </c>
      <c r="H76" s="2">
        <f t="shared" si="2"/>
        <v>47.119689953429209</v>
      </c>
    </row>
    <row r="77" spans="1:8" x14ac:dyDescent="0.3">
      <c r="A77" s="1">
        <v>0.8</v>
      </c>
      <c r="B77" s="1">
        <v>1</v>
      </c>
      <c r="C77" s="1">
        <v>0</v>
      </c>
      <c r="D77" s="1">
        <v>0.01</v>
      </c>
      <c r="E77" s="1">
        <v>128</v>
      </c>
      <c r="F77" s="2">
        <v>10.054254217658499</v>
      </c>
      <c r="G77" s="2">
        <v>59.469573790986502</v>
      </c>
      <c r="H77" s="2">
        <f t="shared" si="2"/>
        <v>49.415319573328006</v>
      </c>
    </row>
    <row r="78" spans="1:8" x14ac:dyDescent="0.3">
      <c r="A78" s="1">
        <v>0.8</v>
      </c>
      <c r="B78" s="1">
        <v>0.75</v>
      </c>
      <c r="C78" s="1">
        <v>0.25</v>
      </c>
      <c r="D78" s="1">
        <v>0.01</v>
      </c>
      <c r="E78" s="1">
        <v>128</v>
      </c>
      <c r="F78" s="2">
        <v>9.9566442608228201</v>
      </c>
      <c r="G78" s="2">
        <v>59.792704762918603</v>
      </c>
      <c r="H78" s="2">
        <f t="shared" si="2"/>
        <v>49.836060502095783</v>
      </c>
    </row>
    <row r="79" spans="1:8" x14ac:dyDescent="0.3">
      <c r="A79" s="1">
        <v>0.6</v>
      </c>
      <c r="B79" s="1">
        <v>1</v>
      </c>
      <c r="C79" s="1">
        <v>0</v>
      </c>
      <c r="D79" s="1">
        <v>1</v>
      </c>
      <c r="E79" s="1">
        <v>64</v>
      </c>
      <c r="F79" s="2">
        <v>2.0080686112356201</v>
      </c>
      <c r="G79" s="2">
        <v>60.557172381047302</v>
      </c>
      <c r="H79" s="2">
        <f t="shared" si="2"/>
        <v>58.54910376981168</v>
      </c>
    </row>
    <row r="80" spans="1:8" x14ac:dyDescent="0.3">
      <c r="A80" s="1">
        <v>0.6</v>
      </c>
      <c r="B80" s="1">
        <v>0.75</v>
      </c>
      <c r="C80" s="1">
        <v>0.25</v>
      </c>
      <c r="D80" s="1">
        <v>1</v>
      </c>
      <c r="E80" s="1">
        <v>64</v>
      </c>
      <c r="F80" s="2">
        <v>2.2282853729375001</v>
      </c>
      <c r="G80" s="2">
        <v>60.838141266313301</v>
      </c>
      <c r="H80" s="2">
        <f t="shared" si="2"/>
        <v>58.609855893375801</v>
      </c>
    </row>
    <row r="81" spans="1:8" x14ac:dyDescent="0.3">
      <c r="A81" s="1">
        <v>0.6</v>
      </c>
      <c r="B81" s="1">
        <v>1</v>
      </c>
      <c r="C81" s="1">
        <v>0</v>
      </c>
      <c r="D81" s="1">
        <v>1</v>
      </c>
      <c r="E81" s="1">
        <v>128</v>
      </c>
      <c r="F81" s="2">
        <v>1.81688181164868</v>
      </c>
      <c r="G81" s="2">
        <v>60.557172381047302</v>
      </c>
      <c r="H81" s="2">
        <f t="shared" si="2"/>
        <v>58.740290569398624</v>
      </c>
    </row>
    <row r="82" spans="1:8" x14ac:dyDescent="0.3">
      <c r="A82" s="1">
        <v>0.6</v>
      </c>
      <c r="B82" s="1">
        <v>0.75</v>
      </c>
      <c r="C82" s="1">
        <v>0.25</v>
      </c>
      <c r="D82" s="1">
        <v>1</v>
      </c>
      <c r="E82" s="1">
        <v>128</v>
      </c>
      <c r="F82" s="2">
        <v>1.8318144206684099</v>
      </c>
      <c r="G82" s="2">
        <v>60.838141266313301</v>
      </c>
      <c r="H82" s="2">
        <f t="shared" si="2"/>
        <v>59.006326845644892</v>
      </c>
    </row>
    <row r="83" spans="1:8" x14ac:dyDescent="0.3">
      <c r="A83" s="1">
        <v>0.6</v>
      </c>
      <c r="B83" s="1">
        <v>0.5</v>
      </c>
      <c r="C83" s="1">
        <v>0.5</v>
      </c>
      <c r="D83" s="1">
        <v>1</v>
      </c>
      <c r="E83" s="1">
        <v>64</v>
      </c>
      <c r="F83" s="2">
        <v>1.7166598335527099</v>
      </c>
      <c r="G83" s="2">
        <v>61.118079207927899</v>
      </c>
      <c r="H83" s="2">
        <f t="shared" si="2"/>
        <v>59.401419374375187</v>
      </c>
    </row>
    <row r="84" spans="1:8" x14ac:dyDescent="0.3">
      <c r="A84" s="1">
        <v>0.6</v>
      </c>
      <c r="B84" s="1">
        <v>0.5</v>
      </c>
      <c r="C84" s="1">
        <v>0.5</v>
      </c>
      <c r="D84" s="1">
        <v>1</v>
      </c>
      <c r="E84" s="1">
        <v>128</v>
      </c>
      <c r="F84" s="2">
        <v>1.70519063201429</v>
      </c>
      <c r="G84" s="2">
        <v>61.118079207927899</v>
      </c>
      <c r="H84" s="2">
        <f t="shared" si="2"/>
        <v>59.412888575913605</v>
      </c>
    </row>
    <row r="85" spans="1:8" x14ac:dyDescent="0.3">
      <c r="A85" s="1">
        <v>0.7</v>
      </c>
      <c r="B85" s="1">
        <v>1</v>
      </c>
      <c r="C85" s="1">
        <v>0</v>
      </c>
      <c r="D85" s="1">
        <v>1</v>
      </c>
      <c r="E85" s="1">
        <v>64</v>
      </c>
      <c r="F85" s="2">
        <v>2.52922431050626</v>
      </c>
      <c r="G85" s="2">
        <v>73.495387406702093</v>
      </c>
      <c r="H85" s="2">
        <f t="shared" si="2"/>
        <v>70.966163096195828</v>
      </c>
    </row>
    <row r="86" spans="1:8" x14ac:dyDescent="0.3">
      <c r="A86" s="1">
        <v>0.7</v>
      </c>
      <c r="B86" s="1">
        <v>1</v>
      </c>
      <c r="C86" s="1">
        <v>0</v>
      </c>
      <c r="D86" s="1">
        <v>1</v>
      </c>
      <c r="E86" s="1">
        <v>128</v>
      </c>
      <c r="F86" s="2">
        <v>1.39635605079493</v>
      </c>
      <c r="G86" s="2">
        <v>73.495387406702093</v>
      </c>
      <c r="H86" s="2">
        <f t="shared" si="2"/>
        <v>72.099031355907158</v>
      </c>
    </row>
    <row r="87" spans="1:8" x14ac:dyDescent="0.3">
      <c r="A87" s="1">
        <v>0.7</v>
      </c>
      <c r="B87" s="1">
        <v>0.75</v>
      </c>
      <c r="C87" s="1">
        <v>0.25</v>
      </c>
      <c r="D87" s="1">
        <v>1</v>
      </c>
      <c r="E87" s="1">
        <v>64</v>
      </c>
      <c r="F87" s="2">
        <v>1.51280274340442</v>
      </c>
      <c r="G87" s="2">
        <v>73.831325149541698</v>
      </c>
      <c r="H87" s="2">
        <f t="shared" si="2"/>
        <v>72.318522406137276</v>
      </c>
    </row>
    <row r="88" spans="1:8" x14ac:dyDescent="0.3">
      <c r="A88" s="1">
        <v>0.7</v>
      </c>
      <c r="B88" s="1">
        <v>0.5</v>
      </c>
      <c r="C88" s="1">
        <v>0.5</v>
      </c>
      <c r="D88" s="1">
        <v>1</v>
      </c>
      <c r="E88" s="1">
        <v>64</v>
      </c>
      <c r="F88" s="2">
        <v>1.84565853092827</v>
      </c>
      <c r="G88" s="2">
        <v>74.166535864621096</v>
      </c>
      <c r="H88" s="2">
        <f t="shared" si="2"/>
        <v>72.32087733369282</v>
      </c>
    </row>
    <row r="89" spans="1:8" x14ac:dyDescent="0.3">
      <c r="A89" s="1">
        <v>0.7</v>
      </c>
      <c r="B89" s="1">
        <v>0.75</v>
      </c>
      <c r="C89" s="1">
        <v>0.25</v>
      </c>
      <c r="D89" s="1">
        <v>1</v>
      </c>
      <c r="E89" s="1">
        <v>128</v>
      </c>
      <c r="F89" s="2">
        <v>1.46956413282475</v>
      </c>
      <c r="G89" s="2">
        <v>73.831325149541698</v>
      </c>
      <c r="H89" s="2">
        <f t="shared" si="2"/>
        <v>72.361761016716954</v>
      </c>
    </row>
    <row r="90" spans="1:8" x14ac:dyDescent="0.3">
      <c r="A90" s="1">
        <v>0.7</v>
      </c>
      <c r="B90" s="1">
        <v>0.5</v>
      </c>
      <c r="C90" s="1">
        <v>0.5</v>
      </c>
      <c r="D90" s="1">
        <v>1</v>
      </c>
      <c r="E90" s="1">
        <v>128</v>
      </c>
      <c r="F90" s="2">
        <v>1.1861105381511401</v>
      </c>
      <c r="G90" s="2">
        <v>74.166535864621096</v>
      </c>
      <c r="H90" s="2">
        <f t="shared" si="2"/>
        <v>72.980425326469955</v>
      </c>
    </row>
    <row r="91" spans="1:8" x14ac:dyDescent="0.3">
      <c r="A91" s="1">
        <v>0.8</v>
      </c>
      <c r="B91" s="1">
        <v>1</v>
      </c>
      <c r="C91" s="1">
        <v>0</v>
      </c>
      <c r="D91" s="1">
        <v>1</v>
      </c>
      <c r="E91" s="1">
        <v>64</v>
      </c>
      <c r="F91" s="2">
        <v>1.16685855601588</v>
      </c>
      <c r="G91" s="2">
        <v>87.521805839824097</v>
      </c>
      <c r="H91" s="2">
        <f t="shared" si="2"/>
        <v>86.354947283808215</v>
      </c>
    </row>
    <row r="92" spans="1:8" x14ac:dyDescent="0.3">
      <c r="A92" s="1">
        <v>0.8</v>
      </c>
      <c r="B92" s="1">
        <v>0.75</v>
      </c>
      <c r="C92" s="1">
        <v>0.25</v>
      </c>
      <c r="D92" s="1">
        <v>1</v>
      </c>
      <c r="E92" s="1">
        <v>64</v>
      </c>
      <c r="F92" s="2">
        <v>1.4722651819360999</v>
      </c>
      <c r="G92" s="2">
        <v>87.916900766270501</v>
      </c>
      <c r="H92" s="2">
        <f t="shared" si="2"/>
        <v>86.444635584334407</v>
      </c>
    </row>
    <row r="93" spans="1:8" x14ac:dyDescent="0.3">
      <c r="A93" s="1">
        <v>0.8</v>
      </c>
      <c r="B93" s="1">
        <v>1</v>
      </c>
      <c r="C93" s="1">
        <v>0</v>
      </c>
      <c r="D93" s="1">
        <v>1</v>
      </c>
      <c r="E93" s="1">
        <v>128</v>
      </c>
      <c r="F93" s="2">
        <v>0.66848755965227202</v>
      </c>
      <c r="G93" s="2">
        <v>87.521805839824097</v>
      </c>
      <c r="H93" s="2">
        <f t="shared" si="2"/>
        <v>86.85331828017182</v>
      </c>
    </row>
    <row r="94" spans="1:8" x14ac:dyDescent="0.3">
      <c r="A94" s="1">
        <v>0.8</v>
      </c>
      <c r="B94" s="1">
        <v>0.5</v>
      </c>
      <c r="C94" s="1">
        <v>0.5</v>
      </c>
      <c r="D94" s="1">
        <v>1</v>
      </c>
      <c r="E94" s="1">
        <v>64</v>
      </c>
      <c r="F94" s="2">
        <v>1.0754237022187301</v>
      </c>
      <c r="G94" s="2">
        <v>88.310154755700395</v>
      </c>
      <c r="H94" s="2">
        <f t="shared" si="2"/>
        <v>87.234731053481667</v>
      </c>
    </row>
    <row r="95" spans="1:8" x14ac:dyDescent="0.3">
      <c r="A95" s="1">
        <v>0.8</v>
      </c>
      <c r="B95" s="1">
        <v>0.75</v>
      </c>
      <c r="C95" s="1">
        <v>0.25</v>
      </c>
      <c r="D95" s="1">
        <v>1</v>
      </c>
      <c r="E95" s="1">
        <v>128</v>
      </c>
      <c r="F95" s="2">
        <v>0.65296312823018998</v>
      </c>
      <c r="G95" s="2">
        <v>87.916900766270501</v>
      </c>
      <c r="H95" s="2">
        <f t="shared" si="2"/>
        <v>87.263937638040318</v>
      </c>
    </row>
    <row r="96" spans="1:8" x14ac:dyDescent="0.3">
      <c r="A96" s="1">
        <v>0.8</v>
      </c>
      <c r="B96" s="1">
        <v>0.5</v>
      </c>
      <c r="C96" s="1">
        <v>0.5</v>
      </c>
      <c r="D96" s="1">
        <v>1</v>
      </c>
      <c r="E96" s="1">
        <v>128</v>
      </c>
      <c r="F96" s="2">
        <v>0.73412029606640306</v>
      </c>
      <c r="G96" s="2">
        <v>88.310154755700395</v>
      </c>
      <c r="H96" s="2">
        <f t="shared" si="2"/>
        <v>87.576034459633988</v>
      </c>
    </row>
  </sheetData>
  <sortState xmlns:xlrd2="http://schemas.microsoft.com/office/spreadsheetml/2017/richdata2" ref="A2:H96">
    <sortCondition ref="H1:H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9F8A-54AD-4E62-9854-E23E8DD6FF00}">
  <dimension ref="A1:M40"/>
  <sheetViews>
    <sheetView tabSelected="1" workbookViewId="0">
      <selection activeCell="L12" sqref="L12"/>
    </sheetView>
  </sheetViews>
  <sheetFormatPr defaultRowHeight="18" x14ac:dyDescent="0.3"/>
  <cols>
    <col min="1" max="9" width="8.88671875" style="4"/>
    <col min="10" max="10" width="46.33203125" style="4" customWidth="1"/>
    <col min="11" max="12" width="15.109375" style="5" bestFit="1" customWidth="1"/>
    <col min="13" max="13" width="8.88671875" style="5"/>
    <col min="14" max="16384" width="8.88671875" style="4"/>
  </cols>
  <sheetData>
    <row r="1" spans="1:13" ht="20.399999999999999" customHeight="1" x14ac:dyDescent="0.3">
      <c r="A1" s="3">
        <v>0.1</v>
      </c>
      <c r="B1" s="3">
        <v>1</v>
      </c>
      <c r="C1" s="3">
        <v>0</v>
      </c>
      <c r="D1" s="3">
        <v>1</v>
      </c>
      <c r="E1" s="3">
        <v>-0.42</v>
      </c>
      <c r="F1" s="3">
        <v>3.29</v>
      </c>
      <c r="G1" s="3">
        <v>3.71</v>
      </c>
      <c r="J1" s="4" t="s">
        <v>8</v>
      </c>
      <c r="K1" s="5">
        <f>AVERAGE(E1,E2,E4,E5,E6,E7,E9,E10,E11)</f>
        <v>1.2111111111111112</v>
      </c>
      <c r="L1" s="5">
        <f t="shared" ref="L1:M1" si="0">AVERAGE(F1,F2,F4,F5,F6,F7,F9,F10,F11)</f>
        <v>14.575555555555557</v>
      </c>
      <c r="M1" s="5">
        <f t="shared" si="0"/>
        <v>13.364444444444445</v>
      </c>
    </row>
    <row r="2" spans="1:13" ht="16.2" customHeight="1" x14ac:dyDescent="0.3">
      <c r="A2" s="3">
        <v>0.1</v>
      </c>
      <c r="B2" s="3">
        <v>0.5</v>
      </c>
      <c r="C2" s="3">
        <v>0.5</v>
      </c>
      <c r="D2" s="3">
        <v>1</v>
      </c>
      <c r="E2" s="3">
        <v>-0.41</v>
      </c>
      <c r="F2" s="3">
        <v>3.37</v>
      </c>
      <c r="G2" s="3">
        <v>3.79</v>
      </c>
      <c r="J2" s="4" t="s">
        <v>9</v>
      </c>
      <c r="K2" s="5">
        <f>AVERAGE(E3,E8,E12)</f>
        <v>5.12</v>
      </c>
      <c r="L2" s="5">
        <f t="shared" ref="L2:M2" si="1">AVERAGE(F3,F8,F12)</f>
        <v>1.4166666666666667</v>
      </c>
      <c r="M2" s="5">
        <f t="shared" si="1"/>
        <v>-3.7033333333333331</v>
      </c>
    </row>
    <row r="3" spans="1:13" ht="16.8" customHeight="1" x14ac:dyDescent="0.3">
      <c r="A3" s="3">
        <v>0.1</v>
      </c>
      <c r="B3" s="3">
        <v>0.5</v>
      </c>
      <c r="C3" s="3">
        <v>0.5</v>
      </c>
      <c r="D3" s="3">
        <v>0.01</v>
      </c>
      <c r="E3" s="3">
        <v>5.52</v>
      </c>
      <c r="F3" s="3">
        <v>0.24</v>
      </c>
      <c r="G3" s="3">
        <v>-5.28</v>
      </c>
      <c r="J3" s="4" t="s">
        <v>10</v>
      </c>
      <c r="K3" s="5">
        <f>AVERAGE(E14,E15,E16,E17,E18,E22)</f>
        <v>1.7733333333333334</v>
      </c>
      <c r="L3" s="5">
        <f t="shared" ref="L3:M3" si="2">AVERAGE(F14,F15,F16,F17,F18,F22)</f>
        <v>42.866666666666667</v>
      </c>
      <c r="M3" s="5">
        <f t="shared" si="2"/>
        <v>41.096666666666671</v>
      </c>
    </row>
    <row r="4" spans="1:13" ht="18" customHeight="1" x14ac:dyDescent="0.3">
      <c r="A4" s="3">
        <v>0.1</v>
      </c>
      <c r="B4" s="3">
        <v>0.75</v>
      </c>
      <c r="C4" s="3">
        <v>0.25</v>
      </c>
      <c r="D4" s="3">
        <v>1</v>
      </c>
      <c r="E4" s="3">
        <v>-0.33</v>
      </c>
      <c r="F4" s="3">
        <v>3.33</v>
      </c>
      <c r="G4" s="3">
        <v>3.67</v>
      </c>
      <c r="J4" s="4" t="s">
        <v>11</v>
      </c>
      <c r="K4" s="5">
        <f>AVERAGE(E13,E19,E20,E21)</f>
        <v>2.5300000000000002</v>
      </c>
      <c r="L4" s="5">
        <f t="shared" ref="L4:M4" si="3">AVERAGE(F13,F19,F20,F21)</f>
        <v>10.370000000000001</v>
      </c>
      <c r="M4" s="5">
        <f t="shared" si="3"/>
        <v>7.8375000000000004</v>
      </c>
    </row>
    <row r="5" spans="1:13" ht="17.399999999999999" customHeight="1" x14ac:dyDescent="0.3">
      <c r="A5" s="3">
        <v>0.2</v>
      </c>
      <c r="B5" s="3">
        <v>1</v>
      </c>
      <c r="C5" s="3">
        <v>0</v>
      </c>
      <c r="D5" s="3">
        <v>1</v>
      </c>
      <c r="E5" s="3">
        <v>2.95</v>
      </c>
      <c r="F5" s="3">
        <v>14.48</v>
      </c>
      <c r="G5" s="3">
        <v>11.53</v>
      </c>
      <c r="J5" s="4" t="s">
        <v>12</v>
      </c>
      <c r="K5" s="5">
        <f>AVERAGE(E23,E24,E25,E31,E32,E33,E38,E39,E40)</f>
        <v>1.2744444444444445</v>
      </c>
      <c r="L5" s="5">
        <f t="shared" ref="L5:M5" si="4">AVERAGE(F23,F24,F25,F31,F32,F33,F38,F39,F40)</f>
        <v>74.196666666666658</v>
      </c>
      <c r="M5" s="5">
        <f t="shared" si="4"/>
        <v>72.921111111111117</v>
      </c>
    </row>
    <row r="6" spans="1:13" ht="17.399999999999999" customHeight="1" x14ac:dyDescent="0.3">
      <c r="A6" s="3">
        <v>0.2</v>
      </c>
      <c r="B6" s="3">
        <v>0.5</v>
      </c>
      <c r="C6" s="3">
        <v>0.5</v>
      </c>
      <c r="D6" s="3">
        <v>1</v>
      </c>
      <c r="E6" s="3">
        <v>1.77</v>
      </c>
      <c r="F6" s="3">
        <v>14.65</v>
      </c>
      <c r="G6" s="3">
        <v>12.88</v>
      </c>
      <c r="J6" s="4" t="s">
        <v>13</v>
      </c>
      <c r="K6" s="5">
        <f>AVERAGE(E26,E27,E28,E29,E30,E34,E35,E36,E37)</f>
        <v>4.9511111111111106</v>
      </c>
      <c r="L6" s="5">
        <f t="shared" ref="L6:M6" si="5">AVERAGE(F26,F27,F28,F29,F30,F34,F35,F36,F37)</f>
        <v>39.027777777777786</v>
      </c>
      <c r="M6" s="5">
        <f t="shared" si="5"/>
        <v>34.077777777777783</v>
      </c>
    </row>
    <row r="7" spans="1:13" x14ac:dyDescent="0.3">
      <c r="A7" s="3">
        <v>0.2</v>
      </c>
      <c r="B7" s="3">
        <v>0.75</v>
      </c>
      <c r="C7" s="3">
        <v>0.25</v>
      </c>
      <c r="D7" s="3">
        <v>1</v>
      </c>
      <c r="E7" s="3">
        <v>1.28</v>
      </c>
      <c r="F7" s="3">
        <v>14.57</v>
      </c>
      <c r="G7" s="3">
        <v>13.28</v>
      </c>
    </row>
    <row r="8" spans="1:13" x14ac:dyDescent="0.3">
      <c r="A8" s="3">
        <v>0.2</v>
      </c>
      <c r="B8" s="3">
        <v>0.75</v>
      </c>
      <c r="C8" s="3">
        <v>0.25</v>
      </c>
      <c r="D8" s="3">
        <v>0.01</v>
      </c>
      <c r="E8" s="3">
        <v>5.88</v>
      </c>
      <c r="F8" s="3">
        <v>1.49</v>
      </c>
      <c r="G8" s="3">
        <v>-4.3899999999999997</v>
      </c>
    </row>
    <row r="9" spans="1:13" x14ac:dyDescent="0.3">
      <c r="A9" s="3">
        <v>0.3</v>
      </c>
      <c r="B9" s="3">
        <v>0.75</v>
      </c>
      <c r="C9" s="3">
        <v>0.25</v>
      </c>
      <c r="D9" s="3">
        <v>1</v>
      </c>
      <c r="E9" s="3">
        <v>1.71</v>
      </c>
      <c r="F9" s="3">
        <v>25.83</v>
      </c>
      <c r="G9" s="3">
        <v>24.12</v>
      </c>
      <c r="K9" s="5">
        <f>AVERAGE(K1:K6)</f>
        <v>2.81</v>
      </c>
      <c r="L9" s="5">
        <f t="shared" ref="L9:M9" si="6">AVERAGE(L1:L6)</f>
        <v>30.408888888888885</v>
      </c>
      <c r="M9" s="5">
        <f t="shared" si="6"/>
        <v>27.599027777777781</v>
      </c>
    </row>
    <row r="10" spans="1:13" x14ac:dyDescent="0.3">
      <c r="A10" s="3">
        <v>0.3</v>
      </c>
      <c r="B10" s="3">
        <v>0.5</v>
      </c>
      <c r="C10" s="3">
        <v>0.5</v>
      </c>
      <c r="D10" s="3">
        <v>1</v>
      </c>
      <c r="E10" s="3">
        <v>1.76</v>
      </c>
      <c r="F10" s="3">
        <v>25.95</v>
      </c>
      <c r="G10" s="3">
        <v>24.19</v>
      </c>
    </row>
    <row r="11" spans="1:13" x14ac:dyDescent="0.3">
      <c r="A11" s="3">
        <v>0.3</v>
      </c>
      <c r="B11" s="3">
        <v>1</v>
      </c>
      <c r="C11" s="3">
        <v>0</v>
      </c>
      <c r="D11" s="3">
        <v>1</v>
      </c>
      <c r="E11" s="3">
        <v>2.59</v>
      </c>
      <c r="F11" s="3">
        <v>25.71</v>
      </c>
      <c r="G11" s="3">
        <v>23.11</v>
      </c>
    </row>
    <row r="12" spans="1:13" x14ac:dyDescent="0.3">
      <c r="A12" s="3">
        <v>0.3</v>
      </c>
      <c r="B12" s="3">
        <v>1</v>
      </c>
      <c r="C12" s="3">
        <v>0</v>
      </c>
      <c r="D12" s="3">
        <v>0.01</v>
      </c>
      <c r="E12" s="3">
        <v>3.96</v>
      </c>
      <c r="F12" s="3">
        <v>2.52</v>
      </c>
      <c r="G12" s="3">
        <v>-1.44</v>
      </c>
    </row>
    <row r="13" spans="1:13" x14ac:dyDescent="0.3">
      <c r="A13" s="6">
        <v>0.4</v>
      </c>
      <c r="B13" s="6">
        <v>0.5</v>
      </c>
      <c r="C13" s="6">
        <v>0.5</v>
      </c>
      <c r="D13" s="6">
        <v>0.01</v>
      </c>
      <c r="E13" s="6">
        <v>2.85</v>
      </c>
      <c r="F13" s="6">
        <v>5.85</v>
      </c>
      <c r="G13" s="6">
        <v>3</v>
      </c>
    </row>
    <row r="14" spans="1:13" x14ac:dyDescent="0.3">
      <c r="A14" s="6">
        <v>0.4</v>
      </c>
      <c r="B14" s="6">
        <v>1</v>
      </c>
      <c r="C14" s="6">
        <v>0</v>
      </c>
      <c r="D14" s="6">
        <v>1</v>
      </c>
      <c r="E14" s="6">
        <v>2.06</v>
      </c>
      <c r="F14" s="6">
        <v>37</v>
      </c>
      <c r="G14" s="6">
        <v>34.94</v>
      </c>
    </row>
    <row r="15" spans="1:13" x14ac:dyDescent="0.3">
      <c r="A15" s="6">
        <v>0.4</v>
      </c>
      <c r="B15" s="6">
        <v>0.75</v>
      </c>
      <c r="C15" s="6">
        <v>0.25</v>
      </c>
      <c r="D15" s="6">
        <v>1</v>
      </c>
      <c r="E15" s="6">
        <v>1.8</v>
      </c>
      <c r="F15" s="6">
        <v>37.17</v>
      </c>
      <c r="G15" s="6">
        <v>35.369999999999997</v>
      </c>
    </row>
    <row r="16" spans="1:13" x14ac:dyDescent="0.3">
      <c r="A16" s="6">
        <v>0.4</v>
      </c>
      <c r="B16" s="6">
        <v>0.5</v>
      </c>
      <c r="C16" s="6">
        <v>0.5</v>
      </c>
      <c r="D16" s="6">
        <v>1</v>
      </c>
      <c r="E16" s="6">
        <v>1.7</v>
      </c>
      <c r="F16" s="6">
        <v>37.340000000000003</v>
      </c>
      <c r="G16" s="6">
        <v>35.65</v>
      </c>
    </row>
    <row r="17" spans="1:7" x14ac:dyDescent="0.3">
      <c r="A17" s="6">
        <v>0.5</v>
      </c>
      <c r="B17" s="6">
        <v>0.75</v>
      </c>
      <c r="C17" s="6">
        <v>0.25</v>
      </c>
      <c r="D17" s="6">
        <v>1</v>
      </c>
      <c r="E17" s="6">
        <v>1.82</v>
      </c>
      <c r="F17" s="6">
        <v>48.56</v>
      </c>
      <c r="G17" s="6">
        <v>46.75</v>
      </c>
    </row>
    <row r="18" spans="1:7" x14ac:dyDescent="0.3">
      <c r="A18" s="6">
        <v>0.5</v>
      </c>
      <c r="B18" s="6">
        <v>0.5</v>
      </c>
      <c r="C18" s="6">
        <v>0.5</v>
      </c>
      <c r="D18" s="6">
        <v>1</v>
      </c>
      <c r="E18" s="6">
        <v>1.67</v>
      </c>
      <c r="F18" s="6">
        <v>48.79</v>
      </c>
      <c r="G18" s="6">
        <v>47.12</v>
      </c>
    </row>
    <row r="19" spans="1:7" x14ac:dyDescent="0.3">
      <c r="A19" s="6">
        <v>0.5</v>
      </c>
      <c r="B19" s="6">
        <v>0.5</v>
      </c>
      <c r="C19" s="6">
        <v>0.5</v>
      </c>
      <c r="D19" s="6">
        <v>0.01</v>
      </c>
      <c r="E19" s="6">
        <v>1.83</v>
      </c>
      <c r="F19" s="6">
        <v>13.81</v>
      </c>
      <c r="G19" s="6">
        <v>11.98</v>
      </c>
    </row>
    <row r="20" spans="1:7" x14ac:dyDescent="0.3">
      <c r="A20" s="6">
        <v>0.5</v>
      </c>
      <c r="B20" s="6">
        <v>1</v>
      </c>
      <c r="C20" s="6">
        <v>0</v>
      </c>
      <c r="D20" s="6">
        <v>0.01</v>
      </c>
      <c r="E20" s="6">
        <v>1.53</v>
      </c>
      <c r="F20" s="6">
        <v>10.23</v>
      </c>
      <c r="G20" s="6">
        <v>8.6999999999999993</v>
      </c>
    </row>
    <row r="21" spans="1:7" x14ac:dyDescent="0.3">
      <c r="A21" s="6">
        <v>0.5</v>
      </c>
      <c r="B21" s="6">
        <v>0.75</v>
      </c>
      <c r="C21" s="6">
        <v>0.25</v>
      </c>
      <c r="D21" s="6">
        <v>0.01</v>
      </c>
      <c r="E21" s="6">
        <v>3.91</v>
      </c>
      <c r="F21" s="6">
        <v>11.59</v>
      </c>
      <c r="G21" s="6">
        <v>7.67</v>
      </c>
    </row>
    <row r="22" spans="1:7" x14ac:dyDescent="0.3">
      <c r="A22" s="6">
        <v>0.5</v>
      </c>
      <c r="B22" s="6">
        <v>1</v>
      </c>
      <c r="C22" s="6">
        <v>0</v>
      </c>
      <c r="D22" s="6">
        <v>1</v>
      </c>
      <c r="E22" s="6">
        <v>1.59</v>
      </c>
      <c r="F22" s="6">
        <v>48.34</v>
      </c>
      <c r="G22" s="6">
        <v>46.75</v>
      </c>
    </row>
    <row r="23" spans="1:7" x14ac:dyDescent="0.3">
      <c r="A23" s="7">
        <v>0.6</v>
      </c>
      <c r="B23" s="7">
        <v>1</v>
      </c>
      <c r="C23" s="7">
        <v>0</v>
      </c>
      <c r="D23" s="7">
        <v>1</v>
      </c>
      <c r="E23" s="7">
        <v>1.82</v>
      </c>
      <c r="F23" s="7">
        <v>60.56</v>
      </c>
      <c r="G23" s="7">
        <v>58.74</v>
      </c>
    </row>
    <row r="24" spans="1:7" x14ac:dyDescent="0.3">
      <c r="A24" s="7">
        <v>0.6</v>
      </c>
      <c r="B24" s="7">
        <v>0.75</v>
      </c>
      <c r="C24" s="7">
        <v>0.25</v>
      </c>
      <c r="D24" s="7">
        <v>1</v>
      </c>
      <c r="E24" s="7">
        <v>1.83</v>
      </c>
      <c r="F24" s="7">
        <v>60.84</v>
      </c>
      <c r="G24" s="7">
        <v>59.01</v>
      </c>
    </row>
    <row r="25" spans="1:7" x14ac:dyDescent="0.3">
      <c r="A25" s="7">
        <v>0.6</v>
      </c>
      <c r="B25" s="7">
        <v>0.5</v>
      </c>
      <c r="C25" s="7">
        <v>0.5</v>
      </c>
      <c r="D25" s="7">
        <v>1</v>
      </c>
      <c r="E25" s="7">
        <v>1.71</v>
      </c>
      <c r="F25" s="7">
        <v>61.12</v>
      </c>
      <c r="G25" s="7">
        <v>59.41</v>
      </c>
    </row>
    <row r="26" spans="1:7" x14ac:dyDescent="0.3">
      <c r="A26" s="7">
        <v>0.6</v>
      </c>
      <c r="B26" s="7">
        <v>1</v>
      </c>
      <c r="C26" s="7">
        <v>0</v>
      </c>
      <c r="D26" s="7">
        <v>0.01</v>
      </c>
      <c r="E26" s="7">
        <v>3.25</v>
      </c>
      <c r="F26" s="7">
        <v>22.55</v>
      </c>
      <c r="G26" s="7">
        <v>19.3</v>
      </c>
    </row>
    <row r="27" spans="1:7" x14ac:dyDescent="0.3">
      <c r="A27" s="7">
        <v>0.6</v>
      </c>
      <c r="B27" s="7">
        <v>0.75</v>
      </c>
      <c r="C27" s="7">
        <v>0.25</v>
      </c>
      <c r="D27" s="7">
        <v>0.01</v>
      </c>
      <c r="E27" s="7">
        <v>2.1800000000000002</v>
      </c>
      <c r="F27" s="7">
        <v>21.95</v>
      </c>
      <c r="G27" s="7">
        <v>19.77</v>
      </c>
    </row>
    <row r="28" spans="1:7" x14ac:dyDescent="0.3">
      <c r="A28" s="7">
        <v>0.6</v>
      </c>
      <c r="B28" s="7">
        <v>0.5</v>
      </c>
      <c r="C28" s="7">
        <v>0.5</v>
      </c>
      <c r="D28" s="7">
        <v>0.01</v>
      </c>
      <c r="E28" s="7">
        <v>2.81</v>
      </c>
      <c r="F28" s="7">
        <v>23.76</v>
      </c>
      <c r="G28" s="7">
        <v>20.95</v>
      </c>
    </row>
    <row r="29" spans="1:7" x14ac:dyDescent="0.3">
      <c r="A29" s="7">
        <v>0.7</v>
      </c>
      <c r="B29" s="7">
        <v>1</v>
      </c>
      <c r="C29" s="7">
        <v>0</v>
      </c>
      <c r="D29" s="7">
        <v>0.01</v>
      </c>
      <c r="E29" s="7">
        <v>3.02</v>
      </c>
      <c r="F29" s="7">
        <v>37.61</v>
      </c>
      <c r="G29" s="7">
        <v>34.590000000000003</v>
      </c>
    </row>
    <row r="30" spans="1:7" x14ac:dyDescent="0.3">
      <c r="A30" s="7">
        <v>0.7</v>
      </c>
      <c r="B30" s="7">
        <v>0.75</v>
      </c>
      <c r="C30" s="7">
        <v>0.25</v>
      </c>
      <c r="D30" s="7">
        <v>0.01</v>
      </c>
      <c r="E30" s="7">
        <v>3.66</v>
      </c>
      <c r="F30" s="7">
        <v>37.020000000000003</v>
      </c>
      <c r="G30" s="7">
        <v>33.36</v>
      </c>
    </row>
    <row r="31" spans="1:7" x14ac:dyDescent="0.3">
      <c r="A31" s="7">
        <v>0.7</v>
      </c>
      <c r="B31" s="7">
        <v>1</v>
      </c>
      <c r="C31" s="7">
        <v>0</v>
      </c>
      <c r="D31" s="7">
        <v>1</v>
      </c>
      <c r="E31" s="7">
        <v>1.4</v>
      </c>
      <c r="F31" s="7">
        <v>73.5</v>
      </c>
      <c r="G31" s="7">
        <v>72.099999999999994</v>
      </c>
    </row>
    <row r="32" spans="1:7" x14ac:dyDescent="0.3">
      <c r="A32" s="7">
        <v>0.7</v>
      </c>
      <c r="B32" s="7">
        <v>0.75</v>
      </c>
      <c r="C32" s="7">
        <v>0.25</v>
      </c>
      <c r="D32" s="7">
        <v>1</v>
      </c>
      <c r="E32" s="7">
        <v>1.47</v>
      </c>
      <c r="F32" s="7">
        <v>73.83</v>
      </c>
      <c r="G32" s="7">
        <v>72.36</v>
      </c>
    </row>
    <row r="33" spans="1:7" x14ac:dyDescent="0.3">
      <c r="A33" s="7">
        <v>0.7</v>
      </c>
      <c r="B33" s="7">
        <v>0.5</v>
      </c>
      <c r="C33" s="7">
        <v>0.5</v>
      </c>
      <c r="D33" s="7">
        <v>1</v>
      </c>
      <c r="E33" s="7">
        <v>1.19</v>
      </c>
      <c r="F33" s="7">
        <v>74.17</v>
      </c>
      <c r="G33" s="7">
        <v>72.98</v>
      </c>
    </row>
    <row r="34" spans="1:7" x14ac:dyDescent="0.3">
      <c r="A34" s="7">
        <v>0.7</v>
      </c>
      <c r="B34" s="7">
        <v>0.5</v>
      </c>
      <c r="C34" s="7">
        <v>0.5</v>
      </c>
      <c r="D34" s="7">
        <v>0.01</v>
      </c>
      <c r="E34" s="7">
        <v>3.39</v>
      </c>
      <c r="F34" s="7">
        <v>36.65</v>
      </c>
      <c r="G34" s="7">
        <v>33.26</v>
      </c>
    </row>
    <row r="35" spans="1:7" x14ac:dyDescent="0.3">
      <c r="A35" s="7">
        <v>0.8</v>
      </c>
      <c r="B35" s="7">
        <v>0.5</v>
      </c>
      <c r="C35" s="7">
        <v>0.5</v>
      </c>
      <c r="D35" s="7">
        <v>0.01</v>
      </c>
      <c r="E35" s="7">
        <v>6.24</v>
      </c>
      <c r="F35" s="7">
        <v>52.45</v>
      </c>
      <c r="G35" s="7">
        <v>46.21</v>
      </c>
    </row>
    <row r="36" spans="1:7" x14ac:dyDescent="0.3">
      <c r="A36" s="7">
        <v>0.8</v>
      </c>
      <c r="B36" s="7">
        <v>1</v>
      </c>
      <c r="C36" s="7">
        <v>0</v>
      </c>
      <c r="D36" s="7">
        <v>0.01</v>
      </c>
      <c r="E36" s="7">
        <v>10.050000000000001</v>
      </c>
      <c r="F36" s="7">
        <v>59.47</v>
      </c>
      <c r="G36" s="7">
        <v>49.42</v>
      </c>
    </row>
    <row r="37" spans="1:7" x14ac:dyDescent="0.3">
      <c r="A37" s="7">
        <v>0.8</v>
      </c>
      <c r="B37" s="7">
        <v>0.75</v>
      </c>
      <c r="C37" s="7">
        <v>0.25</v>
      </c>
      <c r="D37" s="7">
        <v>0.01</v>
      </c>
      <c r="E37" s="7">
        <v>9.9600000000000009</v>
      </c>
      <c r="F37" s="7">
        <v>59.79</v>
      </c>
      <c r="G37" s="7">
        <v>49.84</v>
      </c>
    </row>
    <row r="38" spans="1:7" x14ac:dyDescent="0.3">
      <c r="A38" s="7">
        <v>0.8</v>
      </c>
      <c r="B38" s="7">
        <v>1</v>
      </c>
      <c r="C38" s="7">
        <v>0</v>
      </c>
      <c r="D38" s="7">
        <v>1</v>
      </c>
      <c r="E38" s="7">
        <v>0.67</v>
      </c>
      <c r="F38" s="7">
        <v>87.52</v>
      </c>
      <c r="G38" s="7">
        <v>86.85</v>
      </c>
    </row>
    <row r="39" spans="1:7" x14ac:dyDescent="0.3">
      <c r="A39" s="7">
        <v>0.8</v>
      </c>
      <c r="B39" s="7">
        <v>0.75</v>
      </c>
      <c r="C39" s="7">
        <v>0.25</v>
      </c>
      <c r="D39" s="7">
        <v>1</v>
      </c>
      <c r="E39" s="7">
        <v>0.65</v>
      </c>
      <c r="F39" s="7">
        <v>87.92</v>
      </c>
      <c r="G39" s="7">
        <v>87.26</v>
      </c>
    </row>
    <row r="40" spans="1:7" x14ac:dyDescent="0.3">
      <c r="A40" s="7">
        <v>0.8</v>
      </c>
      <c r="B40" s="7">
        <v>0.5</v>
      </c>
      <c r="C40" s="7">
        <v>0.5</v>
      </c>
      <c r="D40" s="7">
        <v>1</v>
      </c>
      <c r="E40" s="7">
        <v>0.73</v>
      </c>
      <c r="F40" s="7">
        <v>88.31</v>
      </c>
      <c r="G40" s="7">
        <v>87.58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benchmark_results_Movie_pca_202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Salar Basiri</cp:lastModifiedBy>
  <dcterms:created xsi:type="dcterms:W3CDTF">2025-12-02T00:46:31Z</dcterms:created>
  <dcterms:modified xsi:type="dcterms:W3CDTF">2025-12-02T01:46:51Z</dcterms:modified>
</cp:coreProperties>
</file>